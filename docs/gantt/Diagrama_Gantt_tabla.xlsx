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500"/>
  </bookViews>
  <sheets>
    <sheet name="Gantt" sheetId="1" r:id="rId1"/>
    <sheet name="Hi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<sst xmlns="http://schemas.openxmlformats.org/spreadsheetml/2006/main" count="102" uniqueCount="59">
  <si>
    <t xml:space="preserve">Diagrama de Gantt — Sistema Web de Ventas e Inventario </t>
  </si>
  <si>
    <t>.</t>
  </si>
  <si>
    <t>Inicio del cronograma (lunes):</t>
  </si>
  <si>
    <t>Hoy:</t>
  </si>
  <si>
    <t>Tipo</t>
  </si>
  <si>
    <t>Hito</t>
  </si>
  <si>
    <t>Actividad</t>
  </si>
  <si>
    <t>Responsable</t>
  </si>
  <si>
    <t>Inicio</t>
  </si>
  <si>
    <t>Fin</t>
  </si>
  <si>
    <t>Días</t>
  </si>
  <si>
    <t>% avance</t>
  </si>
  <si>
    <t>Estado</t>
  </si>
  <si>
    <t>Tarea</t>
  </si>
  <si>
    <t>Formación del equipo y elección del tema</t>
  </si>
  <si>
    <t>Equipo</t>
  </si>
  <si>
    <t>HITO 1: Inicio del proyecto: tema, equipo y roles</t>
  </si>
  <si>
    <t>Investigación del problema y antecedentes</t>
  </si>
  <si>
    <t>Heydam</t>
  </si>
  <si>
    <t>Objetivos, algoritmo (pseudocódigo) y flujograma v1</t>
  </si>
  <si>
    <t>Luis</t>
  </si>
  <si>
    <t>Redacción y revisión del documento v1</t>
  </si>
  <si>
    <t>Magdiel</t>
  </si>
  <si>
    <t>HITO 2: Primera versión del documento</t>
  </si>
  <si>
    <t>Retroalimentación de la v1 y correcciones</t>
  </si>
  <si>
    <t>Mejora del documento (v2) y encuesta a vendedor</t>
  </si>
  <si>
    <t>Diagrama de Gantt tentativo (editable)</t>
  </si>
  <si>
    <t>Presentación de máx. 6 diapositivas</t>
  </si>
  <si>
    <t>HITO 3: Documento mejorado + Gantt + presentación</t>
  </si>
  <si>
    <t>Configuración del entorno y repositorio GitHub</t>
  </si>
  <si>
    <t>Diseño de base de datos e interfaz</t>
  </si>
  <si>
    <t>Módulo de Ventas y Caja</t>
  </si>
  <si>
    <t>Módulo de Inventario y alertas</t>
  </si>
  <si>
    <t>Luis / Heydam</t>
  </si>
  <si>
    <t>Pruebas QA del prototipo</t>
  </si>
  <si>
    <t>HITO 4: Avance funcional del sistema</t>
  </si>
  <si>
    <t>Módulo de Compras y Proveedores</t>
  </si>
  <si>
    <t>Módulo de Reportes</t>
  </si>
  <si>
    <t>Pruebas QA integrales</t>
  </si>
  <si>
    <t>Documentación técnica y manuales</t>
  </si>
  <si>
    <t>Despliegue y capacitación</t>
  </si>
  <si>
    <t>HITO 5: Entrega final y presentación</t>
  </si>
  <si>
    <t>Leyenda: azul = tarea · verde = tarea completada (100%) · naranja = hito · columna amarilla = semana actual · texto azul/fondo amarillo = editable · verde = enlazado a la hoja Hitos.</t>
  </si>
  <si>
    <t>Para añadir una tarea: inserte una fila dentro de la tabla, copie la fila de arriba y cambie sus datos (Tipo = Tarea). Estados y avance de tareas futuras son supuestos del equipo.</t>
  </si>
  <si>
    <t>Hitos de la materia (fechas editables)</t>
  </si>
  <si>
    <t>Nombre</t>
  </si>
  <si>
    <t>Entregable</t>
  </si>
  <si>
    <t>Inicio del proyecto: tema, equipo y roles</t>
  </si>
  <si>
    <t>Definición del tema y del equipo</t>
  </si>
  <si>
    <t>Primera versión del documento</t>
  </si>
  <si>
    <t>Documento v1 (se presenta al final del hito)</t>
  </si>
  <si>
    <t>Documento mejorado + Gantt + presentación</t>
  </si>
  <si>
    <t>Documento v2, diagrama de Gantt y presentación (máx. 6 diapositivas)</t>
  </si>
  <si>
    <t>Avance funcional del sistema</t>
  </si>
  <si>
    <t>Prototipo con ventas, caja e inventario (supuesto)</t>
  </si>
  <si>
    <t>Entrega final y presentación</t>
  </si>
  <si>
    <t>Sistema completo, documentación y presentación final (supuesto)</t>
  </si>
  <si>
    <t>Fechas de los hitos: tomadas de la plataforma de la materia (captura del usuario). Entregables de los hitos 4 y 5: supuestos del equipo, a confirmar con el docente.</t>
  </si>
  <si>
    <t>Los hitos en la hoja Gantt leen estas fechas: al cambiarlas aquí, las barras naranjas se actualizan solas.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</si>
</sst>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  <numFmt numFmtId="177" formatCode="dd/mm"/>
  </numFmts>
  <fonts count="34">
    <font>
      <sz val="11"/>
      <color theme="1"/>
      <name val="Calibri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0"/>
      <name val="Calibri"/>
      <charset val="1"/>
    </font>
    <font>
      <b/>
      <sz val="8"/>
      <color theme="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2384A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D9D9D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76" fontId="4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176" fontId="4" fillId="3" borderId="0" xfId="0" applyNumberFormat="1" applyFont="1" applyFill="1"/>
    <xf numFmtId="176" fontId="7" fillId="0" borderId="0" xfId="0" applyNumberFormat="1" applyFont="1"/>
    <xf numFmtId="0" fontId="8" fillId="0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177" fontId="9" fillId="0" borderId="0" xfId="0" applyNumberFormat="1" applyFont="1" applyFill="1" applyAlignment="1">
      <alignment horizontal="center" textRotation="90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3" borderId="2" xfId="0" applyFont="1" applyFill="1" applyBorder="1"/>
    <xf numFmtId="176" fontId="4" fillId="3" borderId="2" xfId="0" applyNumberFormat="1" applyFont="1" applyFill="1" applyBorder="1" applyAlignment="1">
      <alignment horizontal="center"/>
    </xf>
    <xf numFmtId="9" fontId="4" fillId="3" borderId="2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8" fillId="0" borderId="3" xfId="0" applyFont="1" applyFill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1" fillId="3" borderId="2" xfId="0" applyFont="1" applyFill="1" applyBorder="1"/>
    <xf numFmtId="176" fontId="12" fillId="0" borderId="2" xfId="0" applyNumberFormat="1" applyFont="1" applyBorder="1" applyAlignment="1">
      <alignment horizontal="center"/>
    </xf>
    <xf numFmtId="9" fontId="11" fillId="3" borderId="2" xfId="0" applyNumberFormat="1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ont>
        <name val="Arial"/>
        <scheme val="none"/>
        <charset val="1"/>
        <family val="0"/>
        <b val="1"/>
        <color rgb="FF2E8B57"/>
      </font>
    </dxf>
    <dxf>
      <fill>
        <patternFill patternType="solid">
          <bgColor rgb="FFE8702A"/>
        </patternFill>
      </fill>
    </dxf>
    <dxf>
      <fill>
        <patternFill patternType="solid">
          <bgColor rgb="FF2E8B57"/>
        </patternFill>
      </fill>
    </dxf>
    <dxf>
      <fill>
        <patternFill patternType="solid">
          <bgColor rgb="FF1F6F8B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8B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8702A"/>
      <rgbColor rgb="00666699"/>
      <rgbColor rgb="00969696"/>
      <rgbColor rgb="0012384A"/>
      <rgbColor rgb="002E8B57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32"/>
  <sheetViews>
    <sheetView tabSelected="1" workbookViewId="0">
      <pane ySplit="6" topLeftCell="A7" activePane="bottomLeft" state="frozen"/>
      <selection/>
      <selection pane="bottomLeft" activeCell="H18" sqref="H18"/>
    </sheetView>
  </sheetViews>
  <sheetFormatPr defaultColWidth="8.67592592592593" defaultRowHeight="14.4"/>
  <cols>
    <col min="1" max="1" width="7" customWidth="1"/>
    <col min="2" max="2" width="6" customWidth="1"/>
    <col min="3" max="3" width="50" customWidth="1"/>
    <col min="4" max="4" width="16" customWidth="1"/>
    <col min="5" max="6" width="12" customWidth="1"/>
    <col min="7" max="7" width="7" customWidth="1"/>
    <col min="8" max="8" width="10" customWidth="1"/>
    <col min="9" max="9" width="13" customWidth="1"/>
    <col min="10" max="33" width="3.2037037037037" customWidth="1"/>
  </cols>
  <sheetData>
    <row r="1" ht="17.4" spans="1:33">
      <c r="A1" s="1" t="s">
        <v>0</v>
      </c>
    </row>
    <row r="2" spans="1:33">
      <c r="A2" s="5" t="s">
        <v>1</v>
      </c>
    </row>
    <row r="3" spans="1:33">
      <c r="A3" s="6" t="s">
        <v>2</v>
      </c>
      <c r="E3" s="7">
        <v>46237</v>
      </c>
    </row>
    <row r="4" spans="1:33">
      <c r="A4" s="6" t="s">
        <v>3</v>
      </c>
      <c r="E4" s="8">
        <f ca="1">TODAY()</f>
        <v>46299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42" customHeight="1" spans="1:33">
      <c r="A6" s="10" t="s">
        <v>4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>
      <c r="A7" s="12" t="s">
        <v>13</v>
      </c>
      <c r="B7" s="12">
        <v>1</v>
      </c>
      <c r="C7" s="13" t="s">
        <v>14</v>
      </c>
      <c r="D7" s="14" t="s">
        <v>15</v>
      </c>
      <c r="E7" s="15">
        <v>46237</v>
      </c>
      <c r="F7" s="15">
        <v>46242</v>
      </c>
      <c r="G7" s="12">
        <f t="shared" ref="G7:G29" si="0">F7-E7+1</f>
        <v>6</v>
      </c>
      <c r="H7" s="16">
        <v>1</v>
      </c>
      <c r="I7" s="12" t="str">
        <f ca="1" t="shared" ref="I7:I29" si="1">IF(H7&gt;=1,"Completado",IF($E$4&lt;E7,"Pendiente","En proceso"))</f>
        <v>Completado</v>
      </c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>
      <c r="A8" s="19" t="s">
        <v>5</v>
      </c>
      <c r="B8" s="19">
        <v>1</v>
      </c>
      <c r="C8" s="20" t="s">
        <v>16</v>
      </c>
      <c r="D8" s="21" t="s">
        <v>15</v>
      </c>
      <c r="E8" s="22">
        <f>Hitos!C4</f>
        <v>46237</v>
      </c>
      <c r="F8" s="22">
        <f>Hitos!D4</f>
        <v>46242</v>
      </c>
      <c r="G8" s="19">
        <f t="shared" si="0"/>
        <v>6</v>
      </c>
      <c r="H8" s="23">
        <v>1</v>
      </c>
      <c r="I8" s="19" t="str">
        <f ca="1" t="shared" si="1"/>
        <v>Completado</v>
      </c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>
      <c r="A9" s="12" t="s">
        <v>13</v>
      </c>
      <c r="B9" s="12">
        <v>2</v>
      </c>
      <c r="C9" s="13" t="s">
        <v>17</v>
      </c>
      <c r="D9" s="14" t="s">
        <v>18</v>
      </c>
      <c r="E9" s="15">
        <v>46244</v>
      </c>
      <c r="F9" s="15">
        <v>46262</v>
      </c>
      <c r="G9" s="12">
        <f t="shared" si="0"/>
        <v>19</v>
      </c>
      <c r="H9" s="16">
        <v>1</v>
      </c>
      <c r="I9" s="12" t="str">
        <f ca="1" t="shared" si="1"/>
        <v>Completado</v>
      </c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>
      <c r="A10" s="12" t="s">
        <v>13</v>
      </c>
      <c r="B10" s="12">
        <v>2</v>
      </c>
      <c r="C10" s="13" t="s">
        <v>19</v>
      </c>
      <c r="D10" s="14" t="s">
        <v>20</v>
      </c>
      <c r="E10" s="15">
        <v>46251</v>
      </c>
      <c r="F10" s="15">
        <v>46272</v>
      </c>
      <c r="G10" s="12">
        <f t="shared" si="0"/>
        <v>22</v>
      </c>
      <c r="H10" s="16">
        <v>1</v>
      </c>
      <c r="I10" s="12" t="str">
        <f ca="1" t="shared" si="1"/>
        <v>Completado</v>
      </c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>
      <c r="A11" s="12" t="s">
        <v>13</v>
      </c>
      <c r="B11" s="12">
        <v>2</v>
      </c>
      <c r="C11" s="13" t="s">
        <v>21</v>
      </c>
      <c r="D11" s="14" t="s">
        <v>22</v>
      </c>
      <c r="E11" s="15">
        <v>46258</v>
      </c>
      <c r="F11" s="15">
        <v>46276</v>
      </c>
      <c r="G11" s="12">
        <f t="shared" si="0"/>
        <v>19</v>
      </c>
      <c r="H11" s="16">
        <v>1</v>
      </c>
      <c r="I11" s="12" t="str">
        <f ca="1" t="shared" si="1"/>
        <v>Completado</v>
      </c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>
      <c r="A12" s="19" t="s">
        <v>5</v>
      </c>
      <c r="B12" s="19">
        <v>2</v>
      </c>
      <c r="C12" s="20" t="s">
        <v>23</v>
      </c>
      <c r="D12" s="21" t="s">
        <v>15</v>
      </c>
      <c r="E12" s="22">
        <f>Hitos!C5</f>
        <v>46265</v>
      </c>
      <c r="F12" s="22">
        <f>Hitos!D5</f>
        <v>46277</v>
      </c>
      <c r="G12" s="19">
        <f t="shared" si="0"/>
        <v>13</v>
      </c>
      <c r="H12" s="23">
        <v>1</v>
      </c>
      <c r="I12" s="19" t="str">
        <f ca="1" t="shared" si="1"/>
        <v>Completado</v>
      </c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>
      <c r="A13" s="12" t="s">
        <v>13</v>
      </c>
      <c r="B13" s="12">
        <v>3</v>
      </c>
      <c r="C13" s="13" t="s">
        <v>24</v>
      </c>
      <c r="D13" s="14" t="s">
        <v>15</v>
      </c>
      <c r="E13" s="15">
        <v>46279</v>
      </c>
      <c r="F13" s="15">
        <v>46297</v>
      </c>
      <c r="G13" s="12">
        <f t="shared" si="0"/>
        <v>19</v>
      </c>
      <c r="H13" s="16">
        <v>1</v>
      </c>
      <c r="I13" s="12" t="str">
        <f ca="1" t="shared" si="1"/>
        <v>Completado</v>
      </c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>
      <c r="A14" s="12" t="s">
        <v>13</v>
      </c>
      <c r="B14" s="12">
        <v>3</v>
      </c>
      <c r="C14" s="13" t="s">
        <v>25</v>
      </c>
      <c r="D14" s="14" t="s">
        <v>15</v>
      </c>
      <c r="E14" s="15">
        <v>46300</v>
      </c>
      <c r="F14" s="15">
        <v>46311</v>
      </c>
      <c r="G14" s="12">
        <f t="shared" si="0"/>
        <v>12</v>
      </c>
      <c r="H14" s="16">
        <v>1</v>
      </c>
      <c r="I14" s="12" t="str">
        <f ca="1" t="shared" si="1"/>
        <v>Completado</v>
      </c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>
      <c r="A15" s="12" t="s">
        <v>13</v>
      </c>
      <c r="B15" s="12">
        <v>3</v>
      </c>
      <c r="C15" s="13" t="s">
        <v>26</v>
      </c>
      <c r="D15" s="14" t="s">
        <v>18</v>
      </c>
      <c r="E15" s="15">
        <v>46300</v>
      </c>
      <c r="F15" s="15">
        <v>46307</v>
      </c>
      <c r="G15" s="12">
        <f t="shared" si="0"/>
        <v>8</v>
      </c>
      <c r="H15" s="16">
        <v>1</v>
      </c>
      <c r="I15" s="12" t="str">
        <f ca="1">IF(H15&gt;=1,"Completado",IF($E$4&lt;E15,"Pendiente","En proceso"))</f>
        <v>Completado</v>
      </c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>
      <c r="A16" s="12" t="s">
        <v>13</v>
      </c>
      <c r="B16" s="12">
        <v>3</v>
      </c>
      <c r="C16" s="13" t="s">
        <v>27</v>
      </c>
      <c r="D16" s="14" t="s">
        <v>22</v>
      </c>
      <c r="E16" s="15">
        <v>46300</v>
      </c>
      <c r="F16" s="15">
        <v>46318</v>
      </c>
      <c r="G16" s="12">
        <f t="shared" si="0"/>
        <v>19</v>
      </c>
      <c r="H16" s="16">
        <v>1</v>
      </c>
      <c r="I16" s="12" t="str">
        <f ca="1">IF(H16&gt;=1,"Completado",IF($E$4&lt;E16,"Pendiente","En proceso"))</f>
        <v>Completado</v>
      </c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>
      <c r="A17" s="19" t="s">
        <v>5</v>
      </c>
      <c r="B17" s="19">
        <v>3</v>
      </c>
      <c r="C17" s="20" t="s">
        <v>28</v>
      </c>
      <c r="D17" s="21" t="s">
        <v>15</v>
      </c>
      <c r="E17" s="22">
        <f>Hitos!C6</f>
        <v>46307</v>
      </c>
      <c r="F17" s="22">
        <f>Hitos!D6</f>
        <v>46319</v>
      </c>
      <c r="G17" s="19">
        <f t="shared" si="0"/>
        <v>13</v>
      </c>
      <c r="H17" s="23">
        <v>1</v>
      </c>
      <c r="I17" s="19" t="str">
        <f ca="1" t="shared" si="1"/>
        <v>Completado</v>
      </c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>
      <c r="A18" s="12" t="s">
        <v>13</v>
      </c>
      <c r="B18" s="12">
        <v>4</v>
      </c>
      <c r="C18" s="13" t="s">
        <v>29</v>
      </c>
      <c r="D18" s="14" t="s">
        <v>20</v>
      </c>
      <c r="E18" s="15">
        <v>46314</v>
      </c>
      <c r="F18" s="15">
        <v>46318</v>
      </c>
      <c r="G18" s="12">
        <f t="shared" si="0"/>
        <v>5</v>
      </c>
      <c r="H18" s="16">
        <v>0.3</v>
      </c>
      <c r="I18" s="12" t="str">
        <f ca="1" t="shared" si="1"/>
        <v>Pendiente</v>
      </c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>
      <c r="A19" s="12" t="s">
        <v>13</v>
      </c>
      <c r="B19" s="12">
        <v>4</v>
      </c>
      <c r="C19" s="13" t="s">
        <v>30</v>
      </c>
      <c r="D19" s="14" t="s">
        <v>18</v>
      </c>
      <c r="E19" s="15">
        <v>46314</v>
      </c>
      <c r="F19" s="15">
        <v>46332</v>
      </c>
      <c r="G19" s="12">
        <f t="shared" si="0"/>
        <v>19</v>
      </c>
      <c r="H19" s="16">
        <v>0</v>
      </c>
      <c r="I19" s="12" t="str">
        <f ca="1" t="shared" si="1"/>
        <v>Pendiente</v>
      </c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1:33">
      <c r="A20" s="12" t="s">
        <v>13</v>
      </c>
      <c r="B20" s="12">
        <v>4</v>
      </c>
      <c r="C20" s="13" t="s">
        <v>31</v>
      </c>
      <c r="D20" s="14" t="s">
        <v>20</v>
      </c>
      <c r="E20" s="15">
        <v>46321</v>
      </c>
      <c r="F20" s="15">
        <v>46346</v>
      </c>
      <c r="G20" s="12">
        <f t="shared" si="0"/>
        <v>26</v>
      </c>
      <c r="H20" s="16">
        <v>0</v>
      </c>
      <c r="I20" s="12" t="str">
        <f ca="1" t="shared" si="1"/>
        <v>Pendiente</v>
      </c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1:33">
      <c r="A21" s="12" t="s">
        <v>13</v>
      </c>
      <c r="B21" s="12">
        <v>4</v>
      </c>
      <c r="C21" s="13" t="s">
        <v>32</v>
      </c>
      <c r="D21" s="14" t="s">
        <v>33</v>
      </c>
      <c r="E21" s="15">
        <v>46328</v>
      </c>
      <c r="F21" s="15">
        <v>46349</v>
      </c>
      <c r="G21" s="12">
        <f t="shared" si="0"/>
        <v>22</v>
      </c>
      <c r="H21" s="16">
        <v>0</v>
      </c>
      <c r="I21" s="12" t="str">
        <f ca="1" t="shared" si="1"/>
        <v>Pendiente</v>
      </c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>
      <c r="A22" s="12" t="s">
        <v>13</v>
      </c>
      <c r="B22" s="12">
        <v>4</v>
      </c>
      <c r="C22" s="13" t="s">
        <v>34</v>
      </c>
      <c r="D22" s="14" t="s">
        <v>22</v>
      </c>
      <c r="E22" s="15">
        <v>46335</v>
      </c>
      <c r="F22" s="15">
        <v>46349</v>
      </c>
      <c r="G22" s="12">
        <f t="shared" si="0"/>
        <v>15</v>
      </c>
      <c r="H22" s="16">
        <v>0</v>
      </c>
      <c r="I22" s="12" t="str">
        <f ca="1" t="shared" si="1"/>
        <v>Pendiente</v>
      </c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1:33">
      <c r="A23" s="19" t="s">
        <v>5</v>
      </c>
      <c r="B23" s="19">
        <v>4</v>
      </c>
      <c r="C23" s="20" t="s">
        <v>35</v>
      </c>
      <c r="D23" s="21" t="s">
        <v>15</v>
      </c>
      <c r="E23" s="22">
        <f>Hitos!C7</f>
        <v>46342</v>
      </c>
      <c r="F23" s="22">
        <f>Hitos!D7</f>
        <v>46350</v>
      </c>
      <c r="G23" s="19">
        <f t="shared" si="0"/>
        <v>9</v>
      </c>
      <c r="H23" s="23">
        <v>0</v>
      </c>
      <c r="I23" s="19" t="str">
        <f ca="1" t="shared" si="1"/>
        <v>Pendiente</v>
      </c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3">
      <c r="A24" s="12" t="s">
        <v>13</v>
      </c>
      <c r="B24" s="12">
        <v>5</v>
      </c>
      <c r="C24" s="13" t="s">
        <v>36</v>
      </c>
      <c r="D24" s="14" t="s">
        <v>33</v>
      </c>
      <c r="E24" s="15">
        <v>46351</v>
      </c>
      <c r="F24" s="15">
        <v>46360</v>
      </c>
      <c r="G24" s="12">
        <f t="shared" si="0"/>
        <v>10</v>
      </c>
      <c r="H24" s="16">
        <v>0</v>
      </c>
      <c r="I24" s="12" t="str">
        <f ca="1" t="shared" si="1"/>
        <v>Pendiente</v>
      </c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>
      <c r="A25" s="12" t="s">
        <v>13</v>
      </c>
      <c r="B25" s="12">
        <v>5</v>
      </c>
      <c r="C25" s="13" t="s">
        <v>37</v>
      </c>
      <c r="D25" s="14" t="s">
        <v>33</v>
      </c>
      <c r="E25" s="15">
        <v>46356</v>
      </c>
      <c r="F25" s="15">
        <v>46364</v>
      </c>
      <c r="G25" s="12">
        <f t="shared" si="0"/>
        <v>9</v>
      </c>
      <c r="H25" s="16">
        <v>0</v>
      </c>
      <c r="I25" s="12" t="str">
        <f ca="1" t="shared" si="1"/>
        <v>Pendiente</v>
      </c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>
      <c r="A26" s="12" t="s">
        <v>13</v>
      </c>
      <c r="B26" s="12">
        <v>5</v>
      </c>
      <c r="C26" s="13" t="s">
        <v>38</v>
      </c>
      <c r="D26" s="14" t="s">
        <v>22</v>
      </c>
      <c r="E26" s="15">
        <v>46351</v>
      </c>
      <c r="F26" s="15">
        <v>46365</v>
      </c>
      <c r="G26" s="12">
        <f t="shared" si="0"/>
        <v>15</v>
      </c>
      <c r="H26" s="16">
        <v>0</v>
      </c>
      <c r="I26" s="12" t="str">
        <f ca="1" t="shared" si="1"/>
        <v>Pendiente</v>
      </c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>
      <c r="A27" s="12" t="s">
        <v>13</v>
      </c>
      <c r="B27" s="12">
        <v>5</v>
      </c>
      <c r="C27" s="13" t="s">
        <v>39</v>
      </c>
      <c r="D27" s="14" t="s">
        <v>22</v>
      </c>
      <c r="E27" s="15">
        <v>46328</v>
      </c>
      <c r="F27" s="15">
        <v>46365</v>
      </c>
      <c r="G27" s="12">
        <f t="shared" si="0"/>
        <v>38</v>
      </c>
      <c r="H27" s="16">
        <v>0</v>
      </c>
      <c r="I27" s="12" t="str">
        <f ca="1" t="shared" si="1"/>
        <v>Pendiente</v>
      </c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>
      <c r="A28" s="12" t="s">
        <v>13</v>
      </c>
      <c r="B28" s="12">
        <v>5</v>
      </c>
      <c r="C28" s="13" t="s">
        <v>40</v>
      </c>
      <c r="D28" s="14" t="s">
        <v>15</v>
      </c>
      <c r="E28" s="15">
        <v>46363</v>
      </c>
      <c r="F28" s="15">
        <v>46366</v>
      </c>
      <c r="G28" s="12">
        <f t="shared" si="0"/>
        <v>4</v>
      </c>
      <c r="H28" s="16">
        <v>0</v>
      </c>
      <c r="I28" s="12" t="str">
        <f ca="1" t="shared" si="1"/>
        <v>Pendiente</v>
      </c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1:33">
      <c r="A29" s="19" t="s">
        <v>5</v>
      </c>
      <c r="B29" s="19">
        <v>5</v>
      </c>
      <c r="C29" s="20" t="s">
        <v>41</v>
      </c>
      <c r="D29" s="21" t="s">
        <v>15</v>
      </c>
      <c r="E29" s="22">
        <f>Hitos!C8</f>
        <v>46367</v>
      </c>
      <c r="F29" s="22">
        <f>Hitos!D8</f>
        <v>46375</v>
      </c>
      <c r="G29" s="19">
        <f t="shared" si="0"/>
        <v>9</v>
      </c>
      <c r="H29" s="23">
        <v>0</v>
      </c>
      <c r="I29" s="19" t="str">
        <f ca="1" t="shared" si="1"/>
        <v>Pendiente</v>
      </c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1:33"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>
      <c r="A31" s="5" t="s">
        <v>42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>
      <c r="A32" s="5" t="s">
        <v>43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</sheetData>
  <conditionalFormatting sqref="I7:I29">
    <cfRule type="expression" dxfId="0" priority="6">
      <formula>I7="Completado"</formula>
    </cfRule>
  </conditionalFormatting>
  <conditionalFormatting sqref="J7:AG29">
    <cfRule type="expression" dxfId="1" priority="2">
      <formula>AND(J$6&lt;=$F7,J$6+6&gt;=$E7,$A7="Hito")</formula>
    </cfRule>
    <cfRule type="expression" dxfId="2" priority="3">
      <formula>AND(J$6&lt;=$F7,J$6+6&gt;=$E7,$H7&gt;=1)</formula>
    </cfRule>
    <cfRule type="expression" dxfId="3" priority="4">
      <formula>AND(J$6&lt;=$F7,J$6+6&gt;=$E7,$A7="Tarea")</formula>
    </cfRule>
    <cfRule type="expression" dxfId="4" priority="5">
      <formula>AND($E$4&gt;=J$6,$E$4&lt;J$6+7)</formula>
    </cfRule>
  </conditionalFormatting>
  <dataValidations count="1">
    <dataValidation type="decimal" operator="between" showErrorMessage="1" error="Ingrese un valor entre 0% y 100%" sqref="H7:H29">
      <formula1>0</formula1>
      <formula2>1</formula2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8.67592592592593" defaultRowHeight="14.4" outlineLevelCol="4"/>
  <cols>
    <col min="1" max="1" width="8" customWidth="1"/>
    <col min="2" max="2" width="44" customWidth="1"/>
    <col min="3" max="4" width="14" customWidth="1"/>
    <col min="5" max="5" width="70" customWidth="1"/>
  </cols>
  <sheetData>
    <row r="1" ht="17.4" spans="1:5">
      <c r="A1" s="1" t="s">
        <v>44</v>
      </c>
    </row>
    <row r="3" spans="1:5">
      <c r="A3" s="2" t="s">
        <v>5</v>
      </c>
      <c r="B3" s="2" t="s">
        <v>45</v>
      </c>
      <c r="C3" s="2" t="s">
        <v>8</v>
      </c>
      <c r="D3" s="2" t="s">
        <v>9</v>
      </c>
      <c r="E3" s="2" t="s">
        <v>46</v>
      </c>
    </row>
    <row r="4" spans="1:5">
      <c r="A4" s="3">
        <v>1</v>
      </c>
      <c r="B4" s="3" t="s">
        <v>47</v>
      </c>
      <c r="C4" s="4">
        <v>46237</v>
      </c>
      <c r="D4" s="4">
        <v>46242</v>
      </c>
      <c r="E4" s="3" t="s">
        <v>48</v>
      </c>
    </row>
    <row r="5" spans="1:5">
      <c r="A5" s="3">
        <v>2</v>
      </c>
      <c r="B5" s="3" t="s">
        <v>49</v>
      </c>
      <c r="C5" s="4">
        <v>46265</v>
      </c>
      <c r="D5" s="4">
        <v>46277</v>
      </c>
      <c r="E5" s="3" t="s">
        <v>50</v>
      </c>
    </row>
    <row r="6" spans="1:5">
      <c r="A6" s="3">
        <v>3</v>
      </c>
      <c r="B6" s="3" t="s">
        <v>51</v>
      </c>
      <c r="C6" s="4">
        <v>46307</v>
      </c>
      <c r="D6" s="4">
        <v>46319</v>
      </c>
      <c r="E6" s="3" t="s">
        <v>52</v>
      </c>
    </row>
    <row r="7" spans="1:5">
      <c r="A7" s="3">
        <v>4</v>
      </c>
      <c r="B7" s="3" t="s">
        <v>53</v>
      </c>
      <c r="C7" s="4">
        <v>46342</v>
      </c>
      <c r="D7" s="4">
        <v>46350</v>
      </c>
      <c r="E7" s="3" t="s">
        <v>54</v>
      </c>
    </row>
    <row r="8" spans="1:5">
      <c r="A8" s="3">
        <v>5</v>
      </c>
      <c r="B8" s="3" t="s">
        <v>55</v>
      </c>
      <c r="C8" s="4">
        <v>46367</v>
      </c>
      <c r="D8" s="4">
        <v>46375</v>
      </c>
      <c r="E8" s="3" t="s">
        <v>56</v>
      </c>
    </row>
    <row r="10" spans="1:5">
      <c r="A10" s="5" t="s">
        <v>57</v>
      </c>
    </row>
    <row r="11" spans="1:5">
      <c r="A11" s="5" t="s">
        <v>58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Gantt</vt:lpstr>
      <vt:lpstr>Hitos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MIGUEL YUCRA TERRAZAS</cp:lastModifiedBy>
  <cp:revision>0</cp:revision>
  <dcterms:created xsi:type="dcterms:W3CDTF">2026-10-05T00:49:00Z</dcterms:created>
  <dcterms:modified xsi:type="dcterms:W3CDTF">2026-10-05T00:57:08Z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90F678E864DE4131988DF3629C182C09_13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